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hizr Ali\Desktop\Data Scraper\"/>
    </mc:Choice>
  </mc:AlternateContent>
  <xr:revisionPtr revIDLastSave="0" documentId="13_ncr:1_{35554DE0-80C1-42C9-A1A9-55BE46FB451F}" xr6:coauthVersionLast="47" xr6:coauthVersionMax="47" xr10:uidLastSave="{00000000-0000-0000-0000-000000000000}"/>
  <bookViews>
    <workbookView xWindow="-120" yWindow="-120" windowWidth="19440" windowHeight="11040" xr2:uid="{00000000-000D-0000-FFFF-FFFF00000000}"/>
  </bookViews>
  <sheets>
    <sheet name="STR 1" sheetId="1" r:id="rId1"/>
    <sheet name="STR 1 MICS 2" sheetId="2" r:id="rId2"/>
    <sheet name="STR 2" sheetId="3" r:id="rId3"/>
    <sheet name="STR 3" sheetId="4" r:id="rId4"/>
    <sheet name="STR 4" sheetId="5" r:id="rId5"/>
    <sheet name="STR 5" sheetId="6" r:id="rId6"/>
    <sheet name="STR 6" sheetId="7" r:id="rId7"/>
    <sheet name="STR 7" sheetId="8" r:id="rId8"/>
    <sheet name="STR 8" sheetId="9" r:id="rId9"/>
    <sheet name="MILL ST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" l="1"/>
  <c r="E27" i="1" l="1"/>
  <c r="E11" i="1" l="1"/>
  <c r="D11" i="1"/>
  <c r="C11" i="1"/>
  <c r="B27" i="1" l="1"/>
  <c r="B30" i="1" s="1"/>
  <c r="D27" i="1"/>
  <c r="E30" i="1"/>
  <c r="D30" i="1" l="1"/>
  <c r="C27" i="1"/>
  <c r="C3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rahim momin</author>
    <author>user</author>
  </authors>
  <commentList>
    <comment ref="B1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Mo fee
Ck fee
Home Depot
</t>
        </r>
      </text>
    </comment>
    <comment ref="C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Home depot
No fees fro checks
mo fee
sams club
</t>
        </r>
      </text>
    </comment>
    <comment ref="D1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MO FEE
CHECK FEE
OFFICE MAX
FELIPE
LOWES</t>
        </r>
      </text>
    </comment>
    <comment ref="E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MO FEE
CHECK FEE
SAMS CLUB
HOME DEPOT</t>
        </r>
      </text>
    </comment>
    <comment ref="B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ACCOUNT ANALYSIS
ALARM CONNECTION
MAS MEDIOS
MERCHANT DISC
ONE GAS TEXAS PR
TX WORK FORCE COMM
UNIVISION
BANK CARD DISC</t>
        </r>
      </text>
    </comment>
    <comment ref="C17" authorId="1" shapeId="0" xr:uid="{00000000-0006-0000-0000-000006000000}">
      <text>
        <r>
          <rPr>
            <sz val="9"/>
            <color indexed="81"/>
            <rFont val="Tahoma"/>
            <family val="2"/>
          </rPr>
          <t>-</t>
        </r>
        <r>
          <rPr>
            <sz val="8"/>
            <color indexed="81"/>
            <rFont val="Tahoma"/>
            <family val="2"/>
          </rPr>
          <t>TEXAS DEPARTMENT OF STATE HEALTH SERVICE</t>
        </r>
        <r>
          <rPr>
            <sz val="9"/>
            <color indexed="81"/>
            <rFont val="Tahoma"/>
            <family val="2"/>
          </rPr>
          <t xml:space="preserve"> 
-atm link</t>
        </r>
      </text>
    </comment>
    <comment ref="D17" authorId="1" shapeId="0" xr:uid="{00000000-0006-0000-0000-000007000000}">
      <text>
        <r>
          <rPr>
            <sz val="8"/>
            <color indexed="81"/>
            <rFont val="Tahoma"/>
            <family val="2"/>
          </rPr>
          <t xml:space="preserve">-TEXAS DEPARTMENT OF LICENSING &amp; REGULATION
-ALIUM TECHNOLOGY INC.
-MILTON MATEO MALDONADO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 shapeId="0" xr:uid="{00000000-0006-0000-0000-000008000000}">
      <text>
        <r>
          <rPr>
            <sz val="9"/>
            <color indexed="81"/>
            <rFont val="Tahoma"/>
            <family val="2"/>
          </rPr>
          <t xml:space="preserve">-CANON COPIERS 
-GEIGER COMMUNICATION
-ADM CPA
</t>
        </r>
      </text>
    </comment>
    <comment ref="B18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TEXAS LED LIGHTNING
</t>
        </r>
      </text>
    </comment>
    <comment ref="C18" authorId="1" shapeId="0" xr:uid="{00000000-0006-0000-0000-00000A000000}">
      <text>
        <r>
          <rPr>
            <sz val="8"/>
            <color indexed="81"/>
            <rFont val="Tahoma"/>
            <family val="2"/>
          </rPr>
          <t>-FELIPE ROGELIO ROMERO
-JUAN CARLOS HERNANDEZ
-JESUS RAMIREZ
-HECTOR HERNANDEZ
-</t>
        </r>
        <r>
          <rPr>
            <sz val="9"/>
            <color indexed="81"/>
            <rFont val="Tahoma"/>
            <family val="2"/>
          </rPr>
          <t xml:space="preserve">penske
</t>
        </r>
      </text>
    </comment>
    <comment ref="D18" authorId="1" shapeId="0" xr:uid="{00000000-0006-0000-0000-00000B000000}">
      <text>
        <r>
          <rPr>
            <sz val="9"/>
            <color indexed="81"/>
            <rFont val="Tahoma"/>
            <family val="2"/>
          </rPr>
          <t xml:space="preserve">-FELIPE ROGELIO ROMERO 
</t>
        </r>
      </text>
    </comment>
    <comment ref="E18" authorId="1" shapeId="0" xr:uid="{00000000-0006-0000-0000-00000C000000}">
      <text>
        <r>
          <rPr>
            <sz val="9"/>
            <color indexed="81"/>
            <rFont val="Tahoma"/>
            <family val="2"/>
          </rPr>
          <t xml:space="preserve">GERMAN SANCHEZ
</t>
        </r>
      </text>
    </comment>
    <comment ref="B19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NUCO2
TEXAS DISPOSAL
TIME WARNER CABLE
</t>
        </r>
      </text>
    </comment>
    <comment ref="C19" authorId="1" shapeId="0" xr:uid="{00000000-0006-0000-0000-00000E000000}">
      <text>
        <r>
          <rPr>
            <sz val="9"/>
            <color indexed="81"/>
            <rFont val="Tahoma"/>
            <family val="2"/>
          </rPr>
          <t xml:space="preserve">-TIME WARNER CABLE
</t>
        </r>
      </text>
    </comment>
    <comment ref="D19" authorId="1" shapeId="0" xr:uid="{00000000-0006-0000-0000-00000F000000}">
      <text>
        <r>
          <rPr>
            <sz val="8"/>
            <color indexed="81"/>
            <rFont val="Tahoma"/>
            <family val="2"/>
          </rPr>
          <t xml:space="preserve">-PEDERNALES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9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Pro Hygenic
US test</t>
        </r>
      </text>
    </comment>
    <comment ref="B20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WEB FILE TX</t>
        </r>
      </text>
    </comment>
    <comment ref="C20" authorId="1" shapeId="0" xr:uid="{00000000-0006-0000-0000-000012000000}">
      <text>
        <r>
          <rPr>
            <sz val="9"/>
            <color indexed="81"/>
            <rFont val="Tahoma"/>
            <family val="2"/>
          </rPr>
          <t xml:space="preserve">-WEBFILE TAX
</t>
        </r>
      </text>
    </comment>
    <comment ref="D20" authorId="1" shapeId="0" xr:uid="{00000000-0006-0000-0000-000013000000}">
      <text>
        <r>
          <rPr>
            <sz val="9"/>
            <color indexed="81"/>
            <rFont val="Tahoma"/>
            <family val="2"/>
          </rPr>
          <t xml:space="preserve">-WEBFILE TAX
</t>
        </r>
      </text>
    </comment>
    <comment ref="B21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IRS</t>
        </r>
      </text>
    </comment>
    <comment ref="C21" authorId="1" shapeId="0" xr:uid="{00000000-0006-0000-0000-000015000000}">
      <text>
        <r>
          <rPr>
            <sz val="9"/>
            <color indexed="81"/>
            <rFont val="Tahoma"/>
            <family val="2"/>
          </rPr>
          <t xml:space="preserve">-IRS
</t>
        </r>
      </text>
    </comment>
    <comment ref="D21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-IRS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1" authorId="1" shapeId="0" xr:uid="{00000000-0006-0000-0000-000017000000}">
      <text>
        <r>
          <rPr>
            <sz val="9"/>
            <color indexed="81"/>
            <rFont val="Tahoma"/>
            <family val="2"/>
          </rPr>
          <t xml:space="preserve">-IRS
</t>
        </r>
      </text>
    </comment>
    <comment ref="D22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Gerson Loan 8000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rahim momin</author>
    <author>user</author>
  </authors>
  <commentList>
    <comment ref="B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rahim momin:</t>
        </r>
        <r>
          <rPr>
            <sz val="9"/>
            <color indexed="81"/>
            <rFont val="Tahoma"/>
            <family val="2"/>
          </rPr>
          <t xml:space="preserve">
Ascentium Capital
Bank corp
Capital One
Delta Finance
Manesia Partners
TD Auto Finacnce
</t>
        </r>
      </text>
    </comment>
    <comment ref="C3" authorId="1" shapeId="0" xr:uid="{00000000-0006-0000-0100-000002000000}">
      <text>
        <r>
          <rPr>
            <sz val="9"/>
            <color indexed="81"/>
            <rFont val="Tahoma"/>
            <family val="2"/>
          </rPr>
          <t xml:space="preserve">-TD AUTO FINANCE 
-CAPITAL ONE 
new york life
infinity insurance
</t>
        </r>
      </text>
    </comment>
    <comment ref="D3" authorId="1" shapeId="0" xr:uid="{00000000-0006-0000-0100-000003000000}">
      <text>
        <r>
          <rPr>
            <sz val="9"/>
            <color indexed="81"/>
            <rFont val="Tahoma"/>
            <family val="2"/>
          </rPr>
          <t>-PRIMERICA LIFE INSURANCE
-HAJJAR PETERS LLP
-BANK CORP
-FUSION CELULAR
-ROGERS &amp; WHITLEY LLP
-MIR CONSULTANT
-NIZARI PFCU
-PROG COUNTY MUT</t>
        </r>
      </text>
    </comment>
    <comment ref="E3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-AGA KHAN FOUNDATION
-FUSION CELLULAR
-AMEX EPAYMENT
-R BANK
-VYKAS ANAND 
-NILOFAR KAROVADIYA
-CAPITAL ONE </t>
        </r>
      </text>
    </comment>
  </commentList>
</comments>
</file>

<file path=xl/sharedStrings.xml><?xml version="1.0" encoding="utf-8"?>
<sst xmlns="http://schemas.openxmlformats.org/spreadsheetml/2006/main" count="285" uniqueCount="39">
  <si>
    <t>STR #1</t>
  </si>
  <si>
    <t>08/02/2021 to 08/08/2021</t>
  </si>
  <si>
    <t>08/09/2021 to 08/15/2021</t>
  </si>
  <si>
    <t>08/16/2021 to 08/22/2021</t>
  </si>
  <si>
    <t>08/23/2021 to 08/29/2021</t>
  </si>
  <si>
    <t>INCOME</t>
  </si>
  <si>
    <t>BUSINESS</t>
  </si>
  <si>
    <t>SALES TAX</t>
  </si>
  <si>
    <t>REBATE</t>
  </si>
  <si>
    <t>COMISSION FEES</t>
  </si>
  <si>
    <t>MO COMISSION FEES</t>
  </si>
  <si>
    <t>CHECK FEES</t>
  </si>
  <si>
    <t>Total Income</t>
  </si>
  <si>
    <t>EXPENSES</t>
  </si>
  <si>
    <t>CASH PURCHASE</t>
  </si>
  <si>
    <t>CASH EXPENSES</t>
  </si>
  <si>
    <t>CK EXPENSES</t>
  </si>
  <si>
    <t xml:space="preserve">MAINTANENCE </t>
  </si>
  <si>
    <t>MISC 2</t>
  </si>
  <si>
    <t>PAYROLL TX</t>
  </si>
  <si>
    <t>PAYROLL CK</t>
  </si>
  <si>
    <t>PAYROLL CASH</t>
  </si>
  <si>
    <t>INSURANCE</t>
  </si>
  <si>
    <t>RENT</t>
  </si>
  <si>
    <t>LOAN</t>
  </si>
  <si>
    <t>Total Expenses</t>
  </si>
  <si>
    <t>store %</t>
  </si>
  <si>
    <t>Total Profit/Loss</t>
  </si>
  <si>
    <t xml:space="preserve">FUEL PROFIT </t>
  </si>
  <si>
    <t xml:space="preserve"> PURCHASE</t>
  </si>
  <si>
    <t>UTILITIES</t>
  </si>
  <si>
    <t>STR #2</t>
  </si>
  <si>
    <t>STR #3</t>
  </si>
  <si>
    <t>STR #4</t>
  </si>
  <si>
    <t>STR #5</t>
  </si>
  <si>
    <t>STR #6</t>
  </si>
  <si>
    <t>STR #7</t>
  </si>
  <si>
    <t>STR #8</t>
  </si>
  <si>
    <t>STR # MILL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</si>
</sst>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name val="Open Sans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2" xfId="0" applyFont="1" applyBorder="1"/>
    <xf numFmtId="0" fontId="1" fillId="3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0" borderId="2" xfId="0" applyBorder="1"/>
    <xf numFmtId="0" fontId="4" fillId="5" borderId="2" xfId="0" applyFont="1" applyFill="1" applyBorder="1"/>
    <xf numFmtId="0" fontId="7" fillId="5" borderId="2" xfId="0" applyFont="1" applyFill="1" applyBorder="1"/>
    <xf numFmtId="2" fontId="0" fillId="0" borderId="2" xfId="0" applyNumberFormat="1" applyBorder="1"/>
    <xf numFmtId="2" fontId="4" fillId="5" borderId="2" xfId="0" applyNumberFormat="1" applyFont="1" applyFill="1" applyBorder="1"/>
    <xf numFmtId="4" fontId="8" fillId="0" borderId="0" xfId="0" applyNumberFormat="1" applyFont="1"/>
    <xf numFmtId="0" fontId="0" fillId="6" borderId="2" xfId="0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2" fontId="7" fillId="5" borderId="2" xfId="0" applyNumberFormat="1" applyFont="1" applyFill="1" applyBorder="1"/>
    <xf numFmtId="0" fontId="0" fillId="5" borderId="2" xfId="0" applyFill="1" applyBorder="1"/>
    <xf numFmtId="0" fontId="0" fillId="3" borderId="2" xfId="0" applyFill="1" applyBorder="1"/>
    <xf numFmtId="0" fontId="2" fillId="2" borderId="1" xfId="0" applyFont="1" applyFill="1" applyBorder="1" applyAlignment="1">
      <alignment horizontal="center"/>
    </xf>
    <xf numFmtId="2" fontId="0" fillId="2" borderId="2" xfId="0" applyNumberFormat="1" applyFill="1" applyBorder="1"/>
    <xf numFmtId="0" fontId="0" fillId="2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8F"/>
      <color rgb="FFF3A3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0"/>
  <sheetViews>
    <sheetView tabSelected="1" topLeftCell="A10" zoomScaleNormal="100" workbookViewId="0">
      <selection activeCell="E25" sqref="E25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8" width="23.5703125" bestFit="1" customWidth="1"/>
  </cols>
  <sheetData>
    <row r="1" spans="1:7" ht="18.75" x14ac:dyDescent="0.3">
      <c r="A1" s="15" t="s">
        <v>0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>
        <v>127114.11</v>
      </c>
      <c r="D4" s="4">
        <v>127811.74</v>
      </c>
      <c r="E4" s="4">
        <v>136947.54999999999</v>
      </c>
      <c r="F4" s="4"/>
      <c r="G4" s="4"/>
    </row>
    <row r="5" spans="1:7" x14ac:dyDescent="0.25">
      <c r="A5" s="10" t="s">
        <v>7</v>
      </c>
      <c r="B5" s="4"/>
      <c r="C5" s="4">
        <v>4153.79</v>
      </c>
      <c r="D5" s="4">
        <v>4195.88</v>
      </c>
      <c r="E5" s="4">
        <v>4477.5200000000004</v>
      </c>
      <c r="F5" s="4"/>
      <c r="G5" s="4"/>
    </row>
    <row r="6" spans="1:7" x14ac:dyDescent="0.25">
      <c r="A6" s="10" t="s">
        <v>8</v>
      </c>
      <c r="B6" s="7">
        <v>948.8</v>
      </c>
      <c r="C6" s="4">
        <v>1383.25</v>
      </c>
      <c r="D6" s="4">
        <v>3210.09</v>
      </c>
      <c r="E6" s="4">
        <v>39.04</v>
      </c>
      <c r="F6" s="4"/>
      <c r="G6" s="4"/>
    </row>
    <row r="7" spans="1:7" x14ac:dyDescent="0.25">
      <c r="A7" s="10" t="s">
        <v>9</v>
      </c>
      <c r="B7" s="4">
        <v>0</v>
      </c>
      <c r="C7" s="7">
        <v>0</v>
      </c>
      <c r="D7" s="4">
        <v>0</v>
      </c>
      <c r="E7" s="4">
        <v>0</v>
      </c>
      <c r="F7" s="4"/>
      <c r="G7" s="4"/>
    </row>
    <row r="8" spans="1:7" x14ac:dyDescent="0.25">
      <c r="A8" s="10" t="s">
        <v>10</v>
      </c>
      <c r="B8" s="7">
        <v>34.200000000000003</v>
      </c>
      <c r="C8" s="7">
        <v>19.100000000000001</v>
      </c>
      <c r="D8" s="7">
        <v>24.32</v>
      </c>
      <c r="E8" s="4">
        <v>24.34</v>
      </c>
      <c r="F8" s="4"/>
      <c r="G8" s="4"/>
    </row>
    <row r="9" spans="1:7" x14ac:dyDescent="0.25">
      <c r="A9" s="10" t="s">
        <v>28</v>
      </c>
      <c r="B9" s="9">
        <v>1761.7829999999999</v>
      </c>
      <c r="C9" s="4">
        <v>2009.47</v>
      </c>
      <c r="D9" s="4">
        <v>1681.06</v>
      </c>
      <c r="E9" s="4">
        <v>1981.57</v>
      </c>
      <c r="F9" s="4"/>
      <c r="G9" s="4"/>
    </row>
    <row r="10" spans="1:7" x14ac:dyDescent="0.25">
      <c r="A10" s="10" t="s">
        <v>11</v>
      </c>
      <c r="B10" s="4">
        <v>3364.68</v>
      </c>
      <c r="C10" s="4">
        <v>4167.45</v>
      </c>
      <c r="D10" s="4">
        <v>3817.13</v>
      </c>
      <c r="E10" s="4">
        <v>5044.75</v>
      </c>
      <c r="F10" s="4"/>
      <c r="G10" s="4"/>
    </row>
    <row r="11" spans="1:7" ht="15.75" x14ac:dyDescent="0.25">
      <c r="A11" s="5" t="s">
        <v>12</v>
      </c>
      <c r="B11" s="5">
        <f>SUM(B4:B10)</f>
        <v>6109.4629999999997</v>
      </c>
      <c r="C11" s="8">
        <f>SUM(C4:C10)</f>
        <v>138847.17000000001</v>
      </c>
      <c r="D11" s="5">
        <f>SUM(D4:D10)</f>
        <v>140740.22</v>
      </c>
      <c r="E11" s="5">
        <f>SUM(E4:E10)</f>
        <v>148514.76999999999</v>
      </c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>
        <v>84601.38</v>
      </c>
      <c r="C14" s="4">
        <v>69716.039999999994</v>
      </c>
      <c r="D14" s="4">
        <v>78584.87</v>
      </c>
      <c r="E14" s="4">
        <v>93180.87</v>
      </c>
      <c r="F14" s="4"/>
      <c r="G14" s="4"/>
    </row>
    <row r="15" spans="1:7" x14ac:dyDescent="0.25">
      <c r="A15" s="10" t="s">
        <v>14</v>
      </c>
      <c r="B15" s="4">
        <v>0</v>
      </c>
      <c r="C15" s="4">
        <v>0</v>
      </c>
      <c r="D15" s="4">
        <v>0</v>
      </c>
      <c r="E15" s="4">
        <v>0</v>
      </c>
      <c r="F15" s="4"/>
      <c r="G15" s="4"/>
    </row>
    <row r="16" spans="1:7" x14ac:dyDescent="0.25">
      <c r="A16" s="10" t="s">
        <v>15</v>
      </c>
      <c r="B16" s="16">
        <v>726.97</v>
      </c>
      <c r="C16" s="4">
        <v>648.79999999999995</v>
      </c>
      <c r="D16" s="4">
        <v>2845.02</v>
      </c>
      <c r="E16" s="4">
        <v>993.27</v>
      </c>
      <c r="F16" s="4"/>
      <c r="G16" s="4"/>
    </row>
    <row r="17" spans="1:7" x14ac:dyDescent="0.25">
      <c r="A17" s="10" t="s">
        <v>16</v>
      </c>
      <c r="B17" s="17">
        <v>9972.68</v>
      </c>
      <c r="C17" s="4">
        <v>219.23</v>
      </c>
      <c r="D17" s="4">
        <v>4203</v>
      </c>
      <c r="E17" s="4">
        <v>1493.32</v>
      </c>
      <c r="F17" s="4"/>
      <c r="G17" s="4"/>
    </row>
    <row r="18" spans="1:7" x14ac:dyDescent="0.25">
      <c r="A18" s="10" t="s">
        <v>17</v>
      </c>
      <c r="B18" s="17">
        <v>378.88</v>
      </c>
      <c r="C18" s="7">
        <v>6606.88</v>
      </c>
      <c r="D18" s="7">
        <v>49.73</v>
      </c>
      <c r="E18" s="4">
        <v>303.19</v>
      </c>
      <c r="F18" s="4"/>
      <c r="G18" s="4"/>
    </row>
    <row r="19" spans="1:7" x14ac:dyDescent="0.25">
      <c r="A19" s="10" t="s">
        <v>30</v>
      </c>
      <c r="B19" s="17">
        <v>2076.65</v>
      </c>
      <c r="C19" s="7">
        <v>15.96</v>
      </c>
      <c r="D19" s="4">
        <v>5020.1400000000003</v>
      </c>
      <c r="E19" s="4">
        <v>843.56</v>
      </c>
      <c r="F19" s="4"/>
      <c r="G19" s="4"/>
    </row>
    <row r="20" spans="1:7" x14ac:dyDescent="0.25">
      <c r="A20" s="10" t="s">
        <v>7</v>
      </c>
      <c r="B20" s="17">
        <v>3097.23</v>
      </c>
      <c r="C20" s="4">
        <v>3097.23</v>
      </c>
      <c r="D20" s="4">
        <v>3050.82</v>
      </c>
      <c r="E20" s="4">
        <v>0</v>
      </c>
      <c r="F20" s="4"/>
      <c r="G20" s="4"/>
    </row>
    <row r="21" spans="1:7" x14ac:dyDescent="0.25">
      <c r="A21" s="10" t="s">
        <v>19</v>
      </c>
      <c r="B21" s="16">
        <v>5537.8</v>
      </c>
      <c r="C21" s="4">
        <v>7759.29</v>
      </c>
      <c r="D21" s="4">
        <v>8050.43</v>
      </c>
      <c r="E21" s="4">
        <v>9010.06</v>
      </c>
      <c r="F21" s="4"/>
      <c r="G21" s="4"/>
    </row>
    <row r="22" spans="1:7" x14ac:dyDescent="0.25">
      <c r="A22" s="10" t="s">
        <v>20</v>
      </c>
      <c r="B22" s="16">
        <v>14869.4</v>
      </c>
      <c r="C22" s="4">
        <v>14398.38</v>
      </c>
      <c r="D22" s="4">
        <v>20822.73</v>
      </c>
      <c r="E22" s="4">
        <v>14445.44</v>
      </c>
      <c r="F22" s="4"/>
      <c r="G22" s="4"/>
    </row>
    <row r="23" spans="1:7" x14ac:dyDescent="0.25">
      <c r="A23" s="10" t="s">
        <v>21</v>
      </c>
      <c r="B23" s="4">
        <v>770</v>
      </c>
      <c r="C23" s="4">
        <v>1450</v>
      </c>
      <c r="D23" s="4">
        <v>1150</v>
      </c>
      <c r="E23" s="4">
        <v>1150</v>
      </c>
      <c r="F23" s="4"/>
      <c r="G23" s="4"/>
    </row>
    <row r="24" spans="1:7" x14ac:dyDescent="0.25">
      <c r="A24" s="10" t="s">
        <v>22</v>
      </c>
      <c r="B24" s="4">
        <v>220.64</v>
      </c>
      <c r="C24" s="4">
        <v>220.64</v>
      </c>
      <c r="D24" s="4">
        <v>220.64</v>
      </c>
      <c r="E24" s="4">
        <v>220.64</v>
      </c>
      <c r="F24" s="4"/>
      <c r="G24" s="4"/>
    </row>
    <row r="25" spans="1:7" x14ac:dyDescent="0.25">
      <c r="A25" s="10" t="s">
        <v>23</v>
      </c>
      <c r="B25" s="4">
        <v>6250</v>
      </c>
      <c r="C25" s="4">
        <v>6250</v>
      </c>
      <c r="D25" s="4">
        <v>6250</v>
      </c>
      <c r="E25" s="4">
        <v>6250</v>
      </c>
      <c r="F25" s="4"/>
      <c r="G25" s="4"/>
    </row>
    <row r="26" spans="1:7" x14ac:dyDescent="0.25">
      <c r="A26" s="10" t="s">
        <v>24</v>
      </c>
      <c r="B26" s="4">
        <v>0</v>
      </c>
      <c r="C26" s="4">
        <v>0</v>
      </c>
      <c r="D26" s="4">
        <v>0</v>
      </c>
      <c r="E26" s="4">
        <v>0</v>
      </c>
      <c r="F26" s="4"/>
      <c r="G26" s="4"/>
    </row>
    <row r="27" spans="1:7" ht="15.75" x14ac:dyDescent="0.25">
      <c r="A27" s="5" t="s">
        <v>25</v>
      </c>
      <c r="B27" s="5">
        <f>SUM(B14:B26)</f>
        <v>128501.62999999999</v>
      </c>
      <c r="C27" s="8">
        <f>SUM(C14:C26)</f>
        <v>110382.45</v>
      </c>
      <c r="D27" s="5">
        <f>SUM(D14:D26)</f>
        <v>130247.38</v>
      </c>
      <c r="E27" s="8">
        <f>SUM(E14:E26)</f>
        <v>127890.35</v>
      </c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>
        <f>B11-B27</f>
        <v>-122392.16699999999</v>
      </c>
      <c r="C30" s="12">
        <f>C11-C27</f>
        <v>28464.720000000016</v>
      </c>
      <c r="D30" s="5">
        <f>D11-D27</f>
        <v>10492.839999999997</v>
      </c>
      <c r="E30" s="6">
        <f>E11-E27</f>
        <v>20624.419999999984</v>
      </c>
      <c r="F30" s="13"/>
      <c r="G30" s="5"/>
    </row>
  </sheetData>
  <mergeCells count="1">
    <mergeCell ref="A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"/>
  <sheetViews>
    <sheetView workbookViewId="0">
      <selection activeCell="E11" sqref="E11"/>
    </sheetView>
  </sheetViews>
  <sheetFormatPr defaultRowHeight="15" x14ac:dyDescent="0.25"/>
  <cols>
    <col min="1" max="1" width="13.42578125" customWidth="1"/>
    <col min="2" max="5" width="23.5703125" bestFit="1" customWidth="1"/>
  </cols>
  <sheetData>
    <row r="1" spans="1:5" ht="18.75" x14ac:dyDescent="0.3">
      <c r="A1" s="15" t="s">
        <v>0</v>
      </c>
      <c r="B1" s="15"/>
      <c r="C1" s="15"/>
      <c r="D1" s="15"/>
      <c r="E1" s="15"/>
    </row>
    <row r="2" spans="1:5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</row>
    <row r="3" spans="1:5" x14ac:dyDescent="0.25">
      <c r="A3" s="11" t="s">
        <v>18</v>
      </c>
      <c r="B3" s="7">
        <v>23320.17</v>
      </c>
      <c r="C3" s="4">
        <v>4255.82</v>
      </c>
      <c r="D3" s="4">
        <v>17039.849999999999</v>
      </c>
      <c r="E3" s="4">
        <v>25063.279999999999</v>
      </c>
    </row>
  </sheetData>
  <mergeCells count="1">
    <mergeCell ref="A1:E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0"/>
  <sheetViews>
    <sheetView workbookViewId="0">
      <selection activeCell="D33" sqref="D33"/>
    </sheetView>
  </sheetViews>
  <sheetFormatPr defaultRowHeight="15" x14ac:dyDescent="0.25"/>
  <cols>
    <col min="1" max="1" width="19.5703125" bestFit="1" customWidth="1"/>
    <col min="2" max="5" width="23.5703125" bestFit="1" customWidth="1"/>
    <col min="6" max="6" width="7.42578125" customWidth="1"/>
    <col min="7" max="7" width="24.42578125" customWidth="1"/>
  </cols>
  <sheetData>
    <row r="1" spans="1:7" ht="18.75" x14ac:dyDescent="0.3">
      <c r="A1" s="15" t="s">
        <v>31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0"/>
  <sheetViews>
    <sheetView workbookViewId="0">
      <selection activeCell="D34" sqref="D34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7" width="22.5703125" customWidth="1"/>
  </cols>
  <sheetData>
    <row r="1" spans="1:7" ht="18.75" x14ac:dyDescent="0.3">
      <c r="A1" s="15" t="s">
        <v>32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0"/>
  <sheetViews>
    <sheetView workbookViewId="0">
      <selection activeCell="I13" sqref="I13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7" width="22.7109375" customWidth="1"/>
  </cols>
  <sheetData>
    <row r="1" spans="1:7" ht="18.75" x14ac:dyDescent="0.3">
      <c r="A1" s="15" t="s">
        <v>33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0"/>
  <sheetViews>
    <sheetView workbookViewId="0">
      <selection activeCell="J29" sqref="J29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7" width="24" customWidth="1"/>
  </cols>
  <sheetData>
    <row r="1" spans="1:7" ht="18.75" x14ac:dyDescent="0.3">
      <c r="A1" s="15" t="s">
        <v>34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30"/>
  <sheetViews>
    <sheetView workbookViewId="0">
      <selection activeCell="C36" sqref="C36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7" width="26" customWidth="1"/>
  </cols>
  <sheetData>
    <row r="1" spans="1:7" ht="18.75" x14ac:dyDescent="0.3">
      <c r="A1" s="15" t="s">
        <v>35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30"/>
  <sheetViews>
    <sheetView workbookViewId="0">
      <selection activeCell="M14" sqref="M14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7" width="24.85546875" customWidth="1"/>
  </cols>
  <sheetData>
    <row r="1" spans="1:7" ht="18.75" x14ac:dyDescent="0.3">
      <c r="A1" s="15" t="s">
        <v>36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30"/>
  <sheetViews>
    <sheetView workbookViewId="0">
      <selection activeCell="D34" sqref="D34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7" width="27" customWidth="1"/>
  </cols>
  <sheetData>
    <row r="1" spans="1:7" ht="18.75" x14ac:dyDescent="0.3">
      <c r="A1" s="15" t="s">
        <v>37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30"/>
  <sheetViews>
    <sheetView workbookViewId="0">
      <selection activeCell="L17" sqref="L17"/>
    </sheetView>
  </sheetViews>
  <sheetFormatPr defaultRowHeight="15" x14ac:dyDescent="0.25"/>
  <cols>
    <col min="1" max="1" width="19.5703125" bestFit="1" customWidth="1"/>
    <col min="2" max="5" width="23.5703125" bestFit="1" customWidth="1"/>
    <col min="7" max="7" width="27.7109375" customWidth="1"/>
  </cols>
  <sheetData>
    <row r="1" spans="1:7" ht="18.75" x14ac:dyDescent="0.3">
      <c r="A1" s="15" t="s">
        <v>38</v>
      </c>
      <c r="B1" s="15"/>
      <c r="C1" s="15"/>
      <c r="D1" s="15"/>
      <c r="E1" s="15"/>
      <c r="F1" s="15"/>
      <c r="G1" s="15"/>
    </row>
    <row r="2" spans="1:7" x14ac:dyDescent="0.25">
      <c r="A2" s="1"/>
      <c r="B2" s="2" t="s">
        <v>1</v>
      </c>
      <c r="C2" s="2" t="s">
        <v>2</v>
      </c>
      <c r="D2" s="2" t="s">
        <v>3</v>
      </c>
      <c r="E2" s="2" t="s">
        <v>4</v>
      </c>
      <c r="F2" s="14"/>
      <c r="G2" s="2"/>
    </row>
    <row r="3" spans="1:7" ht="26.25" x14ac:dyDescent="0.4">
      <c r="A3" s="3" t="s">
        <v>5</v>
      </c>
      <c r="B3" s="4"/>
      <c r="C3" s="4"/>
      <c r="D3" s="4"/>
      <c r="E3" s="4"/>
      <c r="F3" s="4"/>
      <c r="G3" s="4"/>
    </row>
    <row r="4" spans="1:7" x14ac:dyDescent="0.25">
      <c r="A4" s="10" t="s">
        <v>6</v>
      </c>
      <c r="B4" s="4"/>
      <c r="C4" s="4"/>
      <c r="D4" s="4"/>
      <c r="E4" s="4"/>
      <c r="F4" s="4"/>
      <c r="G4" s="4"/>
    </row>
    <row r="5" spans="1:7" x14ac:dyDescent="0.25">
      <c r="A5" s="10" t="s">
        <v>7</v>
      </c>
      <c r="B5" s="4"/>
      <c r="C5" s="4"/>
      <c r="D5" s="4"/>
      <c r="E5" s="4"/>
      <c r="F5" s="4"/>
      <c r="G5" s="4"/>
    </row>
    <row r="6" spans="1:7" x14ac:dyDescent="0.25">
      <c r="A6" s="10" t="s">
        <v>8</v>
      </c>
      <c r="B6" s="7"/>
      <c r="C6" s="4"/>
      <c r="D6" s="4"/>
      <c r="E6" s="4"/>
      <c r="F6" s="4"/>
      <c r="G6" s="4"/>
    </row>
    <row r="7" spans="1:7" x14ac:dyDescent="0.25">
      <c r="A7" s="10" t="s">
        <v>9</v>
      </c>
      <c r="B7" s="4"/>
      <c r="C7" s="7"/>
      <c r="D7" s="4"/>
      <c r="E7" s="4"/>
      <c r="F7" s="4"/>
      <c r="G7" s="4"/>
    </row>
    <row r="8" spans="1:7" x14ac:dyDescent="0.25">
      <c r="A8" s="10" t="s">
        <v>10</v>
      </c>
      <c r="B8" s="7"/>
      <c r="C8" s="7"/>
      <c r="D8" s="7"/>
      <c r="E8" s="4"/>
      <c r="F8" s="4"/>
      <c r="G8" s="4"/>
    </row>
    <row r="9" spans="1:7" x14ac:dyDescent="0.25">
      <c r="A9" s="10" t="s">
        <v>28</v>
      </c>
      <c r="B9" s="9"/>
      <c r="C9" s="4"/>
      <c r="D9" s="4"/>
      <c r="E9" s="4"/>
      <c r="F9" s="4"/>
      <c r="G9" s="4"/>
    </row>
    <row r="10" spans="1:7" x14ac:dyDescent="0.25">
      <c r="A10" s="10" t="s">
        <v>11</v>
      </c>
      <c r="B10" s="4"/>
      <c r="C10" s="4"/>
      <c r="D10" s="4"/>
      <c r="E10" s="4"/>
      <c r="F10" s="4"/>
      <c r="G10" s="4"/>
    </row>
    <row r="11" spans="1:7" ht="15.75" x14ac:dyDescent="0.25">
      <c r="A11" s="5" t="s">
        <v>12</v>
      </c>
      <c r="B11" s="5"/>
      <c r="C11" s="8"/>
      <c r="D11" s="5"/>
      <c r="E11" s="5"/>
      <c r="F11" s="13"/>
      <c r="G11" s="5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ht="26.25" x14ac:dyDescent="0.4">
      <c r="A13" s="3" t="s">
        <v>13</v>
      </c>
      <c r="B13" s="4"/>
      <c r="C13" s="4"/>
      <c r="D13" s="4"/>
      <c r="E13" s="4"/>
      <c r="F13" s="4"/>
      <c r="G13" s="4"/>
    </row>
    <row r="14" spans="1:7" x14ac:dyDescent="0.25">
      <c r="A14" s="10" t="s">
        <v>29</v>
      </c>
      <c r="B14" s="7"/>
      <c r="C14" s="4"/>
      <c r="D14" s="4"/>
      <c r="E14" s="4"/>
      <c r="F14" s="4"/>
      <c r="G14" s="4"/>
    </row>
    <row r="15" spans="1:7" x14ac:dyDescent="0.25">
      <c r="A15" s="10" t="s">
        <v>14</v>
      </c>
      <c r="B15" s="4"/>
      <c r="C15" s="4"/>
      <c r="D15" s="4"/>
      <c r="E15" s="4"/>
      <c r="F15" s="4"/>
      <c r="G15" s="4"/>
    </row>
    <row r="16" spans="1:7" x14ac:dyDescent="0.25">
      <c r="A16" s="10" t="s">
        <v>15</v>
      </c>
      <c r="B16" s="7"/>
      <c r="C16" s="4"/>
      <c r="D16" s="4"/>
      <c r="E16" s="4"/>
      <c r="F16" s="4"/>
      <c r="G16" s="4"/>
    </row>
    <row r="17" spans="1:7" x14ac:dyDescent="0.25">
      <c r="A17" s="10" t="s">
        <v>16</v>
      </c>
      <c r="B17" s="4"/>
      <c r="C17" s="4"/>
      <c r="D17" s="4"/>
      <c r="E17" s="4"/>
      <c r="F17" s="4"/>
      <c r="G17" s="4"/>
    </row>
    <row r="18" spans="1:7" x14ac:dyDescent="0.25">
      <c r="A18" s="10" t="s">
        <v>17</v>
      </c>
      <c r="B18" s="4"/>
      <c r="C18" s="7"/>
      <c r="D18" s="7"/>
      <c r="E18" s="4"/>
      <c r="F18" s="4"/>
      <c r="G18" s="4"/>
    </row>
    <row r="19" spans="1:7" x14ac:dyDescent="0.25">
      <c r="A19" s="10" t="s">
        <v>30</v>
      </c>
      <c r="B19" s="4"/>
      <c r="C19" s="7"/>
      <c r="D19" s="4"/>
      <c r="E19" s="4"/>
      <c r="F19" s="4"/>
      <c r="G19" s="4"/>
    </row>
    <row r="20" spans="1:7" x14ac:dyDescent="0.25">
      <c r="A20" s="10" t="s">
        <v>7</v>
      </c>
      <c r="B20" s="4"/>
      <c r="C20" s="4"/>
      <c r="D20" s="4"/>
      <c r="E20" s="4"/>
      <c r="F20" s="4"/>
      <c r="G20" s="4"/>
    </row>
    <row r="21" spans="1:7" x14ac:dyDescent="0.25">
      <c r="A21" s="10" t="s">
        <v>19</v>
      </c>
      <c r="B21" s="7"/>
      <c r="C21" s="4"/>
      <c r="D21" s="4"/>
      <c r="E21" s="4"/>
      <c r="F21" s="4"/>
      <c r="G21" s="4"/>
    </row>
    <row r="22" spans="1:7" x14ac:dyDescent="0.25">
      <c r="A22" s="10" t="s">
        <v>20</v>
      </c>
      <c r="B22" s="7"/>
      <c r="C22" s="4"/>
      <c r="D22" s="4"/>
      <c r="E22" s="4"/>
      <c r="F22" s="4"/>
      <c r="G22" s="4"/>
    </row>
    <row r="23" spans="1:7" x14ac:dyDescent="0.25">
      <c r="A23" s="10" t="s">
        <v>21</v>
      </c>
      <c r="B23" s="4"/>
      <c r="C23" s="4"/>
      <c r="D23" s="4"/>
      <c r="E23" s="4"/>
      <c r="F23" s="4"/>
      <c r="G23" s="4"/>
    </row>
    <row r="24" spans="1:7" x14ac:dyDescent="0.25">
      <c r="A24" s="10" t="s">
        <v>22</v>
      </c>
      <c r="B24" s="4"/>
      <c r="C24" s="4"/>
      <c r="D24" s="4"/>
      <c r="E24" s="4"/>
      <c r="F24" s="4"/>
      <c r="G24" s="4"/>
    </row>
    <row r="25" spans="1:7" x14ac:dyDescent="0.25">
      <c r="A25" s="10" t="s">
        <v>23</v>
      </c>
      <c r="B25" s="4"/>
      <c r="C25" s="4"/>
      <c r="D25" s="4"/>
      <c r="E25" s="4"/>
      <c r="F25" s="4"/>
      <c r="G25" s="4"/>
    </row>
    <row r="26" spans="1:7" x14ac:dyDescent="0.25">
      <c r="A26" s="10" t="s">
        <v>24</v>
      </c>
      <c r="B26" s="4"/>
      <c r="C26" s="4"/>
      <c r="D26" s="4"/>
      <c r="E26" s="4"/>
      <c r="F26" s="4"/>
      <c r="G26" s="4"/>
    </row>
    <row r="27" spans="1:7" ht="15.75" x14ac:dyDescent="0.25">
      <c r="A27" s="5" t="s">
        <v>25</v>
      </c>
      <c r="B27" s="5"/>
      <c r="C27" s="8"/>
      <c r="D27" s="5"/>
      <c r="E27" s="8"/>
      <c r="F27" s="13"/>
      <c r="G27" s="5"/>
    </row>
    <row r="28" spans="1:7" x14ac:dyDescent="0.25">
      <c r="A28" s="4"/>
      <c r="B28" s="4"/>
      <c r="C28" s="4"/>
      <c r="D28" s="4"/>
      <c r="E28" s="4"/>
      <c r="F28" s="4"/>
      <c r="G28" s="4"/>
    </row>
    <row r="29" spans="1:7" x14ac:dyDescent="0.25">
      <c r="A29" s="4" t="s">
        <v>26</v>
      </c>
      <c r="B29" s="4"/>
      <c r="C29" s="4"/>
      <c r="D29" s="4"/>
      <c r="E29" s="4"/>
      <c r="F29" s="4"/>
      <c r="G29" s="4"/>
    </row>
    <row r="30" spans="1:7" ht="15.75" x14ac:dyDescent="0.25">
      <c r="A30" s="5" t="s">
        <v>27</v>
      </c>
      <c r="B30" s="5"/>
      <c r="C30" s="12"/>
      <c r="D30" s="5"/>
      <c r="E30" s="6"/>
      <c r="F30" s="13"/>
      <c r="G30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STR 1</vt:lpstr>
      <vt:lpstr>STR 1 MICS 2</vt:lpstr>
      <vt:lpstr>STR 2</vt:lpstr>
      <vt:lpstr>STR 3</vt:lpstr>
      <vt:lpstr>STR 4</vt:lpstr>
      <vt:lpstr>STR 5</vt:lpstr>
      <vt:lpstr>STR 6</vt:lpstr>
      <vt:lpstr>STR 7</vt:lpstr>
      <vt:lpstr>STR 8</vt:lpstr>
      <vt:lpstr>MILL 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sweet</dc:creator>
  <cp:lastModifiedBy>Khizr Ali</cp:lastModifiedBy>
  <dcterms:created xsi:type="dcterms:W3CDTF">2021-09-13T13:50:54Z</dcterms:created>
  <dcterms:modified xsi:type="dcterms:W3CDTF">2021-10-05T20:32:36Z</dcterms:modified>
</cp:coreProperties>
</file>